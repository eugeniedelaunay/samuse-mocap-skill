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uniluxembourg.sharepoint.com/sites/msteams_fae646/Shared Documents/General/"/>
    </mc:Choice>
  </mc:AlternateContent>
  <xr:revisionPtr revIDLastSave="0" documentId="8_{F042D883-20A8-4D95-BABB-829C486635F3}" xr6:coauthVersionLast="47" xr6:coauthVersionMax="47" xr10:uidLastSave="{00000000-0000-0000-0000-000000000000}"/>
  <bookViews>
    <workbookView xWindow="0" yWindow="680" windowWidth="11000" windowHeight="19440" activeTab="1" xr2:uid="{00000000-000D-0000-FFFF-FFFF00000000}"/>
  </bookViews>
  <sheets>
    <sheet name="Participants" sheetId="1" r:id="rId1"/>
    <sheet name="Sheet1" sheetId="3" r:id="rId2"/>
    <sheet name="Legen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4" i="1"/>
  <c r="H6" i="1"/>
  <c r="K13" i="1"/>
  <c r="K12" i="1"/>
  <c r="L8" i="1"/>
  <c r="L7" i="1"/>
  <c r="L6" i="1"/>
  <c r="L3" i="1"/>
  <c r="L2" i="1"/>
  <c r="L1" i="1"/>
  <c r="H5" i="1"/>
  <c r="H4" i="1"/>
  <c r="H3" i="1"/>
  <c r="H2" i="1"/>
  <c r="H1" i="1"/>
  <c r="Q3" i="1"/>
  <c r="R3" i="1"/>
  <c r="S3" i="1"/>
  <c r="S2" i="1"/>
  <c r="R2" i="1"/>
  <c r="Q2" i="1"/>
  <c r="P3" i="1"/>
  <c r="P2" i="1"/>
  <c r="O2" i="1" l="1"/>
  <c r="O3" i="1"/>
</calcChain>
</file>

<file path=xl/sharedStrings.xml><?xml version="1.0" encoding="utf-8"?>
<sst xmlns="http://schemas.openxmlformats.org/spreadsheetml/2006/main" count="255" uniqueCount="81">
  <si>
    <t>ID</t>
  </si>
  <si>
    <t>Instrument</t>
  </si>
  <si>
    <t>Skill Level</t>
  </si>
  <si>
    <t>Num Level</t>
  </si>
  <si>
    <t>Age</t>
  </si>
  <si>
    <t>Sex</t>
  </si>
  <si>
    <t>violin</t>
  </si>
  <si>
    <t>novice</t>
  </si>
  <si>
    <t>Total</t>
  </si>
  <si>
    <t>P001</t>
  </si>
  <si>
    <t>Female</t>
  </si>
  <si>
    <t>clarinet</t>
  </si>
  <si>
    <t>advanced_beginner</t>
  </si>
  <si>
    <t>Violin</t>
  </si>
  <si>
    <t>P002</t>
  </si>
  <si>
    <t>expert</t>
  </si>
  <si>
    <t>competent</t>
  </si>
  <si>
    <t>Clarinet</t>
  </si>
  <si>
    <t>P003</t>
  </si>
  <si>
    <t>P004</t>
  </si>
  <si>
    <t>P005</t>
  </si>
  <si>
    <t>P006</t>
  </si>
  <si>
    <t>P007</t>
  </si>
  <si>
    <t>P008</t>
  </si>
  <si>
    <t>P009</t>
  </si>
  <si>
    <t>P010</t>
  </si>
  <si>
    <t>Male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</si>
  <si>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</si>
  <si>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</si>
  <si>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</si>
  <si>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</si>
  <si>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</si>
  <si>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</si>
  <si>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</si>
  <si>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</si>
  <si>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</si>
  <si>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</si>
  <si>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</si>
  <si>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</si>
  <si>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</si>
  <si>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</si>
  <si>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</si>
  <si>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</si>
  <si>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</si>
  <si>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</si>
  <si>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</si>
  <si>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</si>
  <si>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</si>
  <si>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</si>
  <si>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</si>
  <si>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</si>
  <si>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</si>
  <si>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</si>
  <si>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</si>
  <si>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</si>
  <si>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</si>
  <si>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</si>
  <si>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</si>
  <si>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</si>
  <si>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</si>
  <si>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</si>
  <si>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</si>
  <si>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</si>
  <si>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 </t>
  </si>
  <si>
    <t>P047</t>
  </si>
  <si>
    <t>P048</t>
  </si>
  <si>
    <t>P049</t>
  </si>
  <si>
    <t>P050</t>
  </si>
  <si>
    <t>P051</t>
  </si>
  <si>
    <t>Clarinet – Female</t>
  </si>
  <si>
    <t>Clarinet – Male</t>
  </si>
  <si>
    <t>Violin – Female</t>
  </si>
  <si>
    <t>Violin – Male</t>
  </si>
  <si>
    <t>Novice</t>
  </si>
  <si>
    <t>Adv. Beginner</t>
  </si>
  <si>
    <t>Competent</t>
  </si>
  <si>
    <t>Expert</t>
  </si>
  <si>
    <t>Numeric</t>
  </si>
  <si>
    <t>Absolute Beginner</t>
  </si>
  <si>
    <t>Advanced Beginner</t>
  </si>
  <si>
    <t>Proficient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</si>
</sst>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434343"/>
      <name val="Roboto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color theme="1" tint="0.249977111117893"/>
      <name val="Arial"/>
      <family val="2"/>
      <charset val="1"/>
    </font>
    <font>
      <sz val="10"/>
      <color theme="1" tint="0.249977111117893"/>
      <name val="Roboto"/>
      <charset val="1"/>
    </font>
    <font>
      <sz val="10"/>
      <color theme="1" tint="0.249977111117893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C471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A9DFBF"/>
      </patternFill>
    </fill>
    <fill>
      <patternFill patternType="solid">
        <fgColor rgb="FFF9E79F"/>
      </patternFill>
    </fill>
    <fill>
      <patternFill patternType="solid">
        <fgColor rgb="FFF1948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C471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8F9FA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CCCCCC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CCCCCC"/>
      </left>
      <right style="thin">
        <color theme="0" tint="-4.9989318521683403E-2"/>
      </right>
      <top style="thin">
        <color theme="0" tint="-4.9989318521683403E-2"/>
      </top>
      <bottom style="thin">
        <color rgb="FFCCCCCC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CCCCCC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F2F2F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0" borderId="0" xfId="0" applyFont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readingOrder="1"/>
    </xf>
    <xf numFmtId="0" fontId="5" fillId="18" borderId="7" xfId="0" applyFont="1" applyFill="1" applyBorder="1" applyAlignment="1">
      <alignment readingOrder="1"/>
    </xf>
    <xf numFmtId="0" fontId="6" fillId="20" borderId="8" xfId="0" applyFont="1" applyFill="1" applyBorder="1"/>
    <xf numFmtId="0" fontId="6" fillId="20" borderId="9" xfId="0" applyFont="1" applyFill="1" applyBorder="1"/>
    <xf numFmtId="0" fontId="7" fillId="0" borderId="10" xfId="0" applyFont="1" applyBorder="1"/>
    <xf numFmtId="0" fontId="7" fillId="0" borderId="11" xfId="0" applyFont="1" applyBorder="1"/>
    <xf numFmtId="0" fontId="5" fillId="19" borderId="0" xfId="0" applyFont="1" applyFill="1" applyAlignment="1">
      <alignment readingOrder="1"/>
    </xf>
    <xf numFmtId="0" fontId="8" fillId="22" borderId="5" xfId="0" applyFont="1" applyFill="1" applyBorder="1" applyAlignment="1">
      <alignment horizontal="center" vertical="center"/>
    </xf>
    <xf numFmtId="0" fontId="8" fillId="23" borderId="12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24" borderId="12" xfId="0" applyFont="1" applyFill="1" applyBorder="1" applyAlignment="1">
      <alignment horizontal="center" vertical="center" readingOrder="1"/>
    </xf>
    <xf numFmtId="0" fontId="9" fillId="18" borderId="7" xfId="0" applyFont="1" applyFill="1" applyBorder="1" applyAlignment="1">
      <alignment horizontal="center" vertical="center" readingOrder="1"/>
    </xf>
    <xf numFmtId="0" fontId="8" fillId="25" borderId="6" xfId="0" applyFont="1" applyFill="1" applyBorder="1" applyAlignment="1">
      <alignment horizontal="center" vertical="center"/>
    </xf>
    <xf numFmtId="0" fontId="8" fillId="26" borderId="4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24" borderId="4" xfId="0" applyFont="1" applyFill="1" applyBorder="1" applyAlignment="1">
      <alignment horizontal="center" vertical="center" readingOrder="1"/>
    </xf>
    <xf numFmtId="0" fontId="8" fillId="22" borderId="6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horizontal="center" vertical="center" readingOrder="1"/>
    </xf>
    <xf numFmtId="0" fontId="8" fillId="15" borderId="4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 readingOrder="1"/>
    </xf>
    <xf numFmtId="0" fontId="10" fillId="9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21" borderId="7" xfId="0" applyFont="1" applyFill="1" applyBorder="1" applyAlignment="1">
      <alignment horizontal="center" vertical="center" readingOrder="1"/>
    </xf>
    <xf numFmtId="0" fontId="10" fillId="4" borderId="14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 readingOrder="1"/>
    </xf>
    <xf numFmtId="0" fontId="9" fillId="21" borderId="17" xfId="0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Participants!$N$2</c:f>
              <c:strCache>
                <c:ptCount val="1"/>
                <c:pt idx="0">
                  <c:v>Violin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Participants!$O$1:$S$1</c:f>
              <c:strCache>
                <c:ptCount val="5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Participants!$O$2:$T$2</c:f>
              <c:numCache>
                <c:formatCode>General</c:formatCode>
                <c:ptCount val="6"/>
                <c:pt idx="0">
                  <c:v>19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3-455A-8410-1B5FEFBBDC53}"/>
            </c:ext>
          </c:extLst>
        </c:ser>
        <c:ser>
          <c:idx val="1"/>
          <c:order val="1"/>
          <c:tx>
            <c:strRef>
              <c:f>Participants!$N$3</c:f>
              <c:strCache>
                <c:ptCount val="1"/>
                <c:pt idx="0">
                  <c:v>Clarinet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Participants!$O$1:$S$1</c:f>
              <c:strCache>
                <c:ptCount val="5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Participants!$O$3:$T$3</c:f>
              <c:numCache>
                <c:formatCode>General</c:formatCode>
                <c:ptCount val="6"/>
                <c:pt idx="0">
                  <c:v>33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3-455A-8410-1B5FEFBB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58594824"/>
        <c:axId val="858597896"/>
      </c:barChart>
      <c:catAx>
        <c:axId val="85859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97896"/>
        <c:crosses val="autoZero"/>
        <c:auto val="1"/>
        <c:lblAlgn val="ctr"/>
        <c:lblOffset val="100"/>
        <c:noMultiLvlLbl val="0"/>
      </c:catAx>
      <c:valAx>
        <c:axId val="85859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9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Clarinet –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4"/>
                <c:pt idx="0">
                  <c:v>Novice</c:v>
                </c:pt>
                <c:pt idx="1">
                  <c:v>Adv. Beginner</c:v>
                </c:pt>
                <c:pt idx="2">
                  <c:v>Competent</c:v>
                </c:pt>
                <c:pt idx="3">
                  <c:v>Expert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0-4A0C-85A5-D58BCA595CD2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Clarinet – Male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4"/>
                <c:pt idx="0">
                  <c:v>Novice</c:v>
                </c:pt>
                <c:pt idx="1">
                  <c:v>Adv. Beginner</c:v>
                </c:pt>
                <c:pt idx="2">
                  <c:v>Competent</c:v>
                </c:pt>
                <c:pt idx="3">
                  <c:v>Expert</c:v>
                </c:pt>
              </c:strCache>
            </c:strRef>
          </c:cat>
          <c:val>
            <c:numRef>
              <c:f>Sheet1!$D$4:$D$8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0-4A0C-85A5-D58BCA595CD2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Violin – 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4"/>
                <c:pt idx="0">
                  <c:v>Novice</c:v>
                </c:pt>
                <c:pt idx="1">
                  <c:v>Adv. Beginner</c:v>
                </c:pt>
                <c:pt idx="2">
                  <c:v>Competent</c:v>
                </c:pt>
                <c:pt idx="3">
                  <c:v>Expert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0-4A0C-85A5-D58BCA595CD2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  <c:pt idx="0">
                  <c:v>Violin – Male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4"/>
                <c:pt idx="0">
                  <c:v>Novice</c:v>
                </c:pt>
                <c:pt idx="1">
                  <c:v>Adv. Beginner</c:v>
                </c:pt>
                <c:pt idx="2">
                  <c:v>Competent</c:v>
                </c:pt>
                <c:pt idx="3">
                  <c:v>Expert</c:v>
                </c:pt>
              </c:strCache>
            </c:strRef>
          </c:cat>
          <c:val>
            <c:numRef>
              <c:f>Sheet1!$F$4:$F$8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30-4A0C-85A5-D58BCA595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093319"/>
        <c:axId val="1292137991"/>
      </c:barChart>
      <c:catAx>
        <c:axId val="175009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37991"/>
        <c:crosses val="autoZero"/>
        <c:auto val="1"/>
        <c:lblAlgn val="ctr"/>
        <c:lblOffset val="100"/>
        <c:noMultiLvlLbl val="0"/>
      </c:catAx>
      <c:valAx>
        <c:axId val="129213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93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4</xdr:row>
      <xdr:rowOff>19050</xdr:rowOff>
    </xdr:from>
    <xdr:to>
      <xdr:col>20</xdr:col>
      <xdr:colOff>428625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580FF3-6199-80CF-A4E6-C29C1B91E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17</xdr:row>
      <xdr:rowOff>171450</xdr:rowOff>
    </xdr:from>
    <xdr:to>
      <xdr:col>20</xdr:col>
      <xdr:colOff>85725</xdr:colOff>
      <xdr:row>57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C22C6-C914-7F9E-885D-4732F3CEC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opLeftCell="A33" workbookViewId="0">
      <selection activeCell="D49" sqref="D49"/>
    </sheetView>
  </sheetViews>
  <sheetFormatPr defaultColWidth="8.85546875" defaultRowHeight="15"/>
  <cols>
    <col min="1" max="1" width="8" customWidth="1"/>
    <col min="2" max="2" width="14" customWidth="1"/>
    <col min="3" max="3" width="20" customWidth="1"/>
    <col min="4" max="4" width="12" customWidth="1"/>
    <col min="7" max="7" width="17.7109375" bestFit="1" customWidth="1"/>
    <col min="10" max="10" width="17.7109375" bestFit="1" customWidth="1"/>
  </cols>
  <sheetData>
    <row r="1" spans="1:19" ht="21.9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2" t="s">
        <v>6</v>
      </c>
      <c r="H1">
        <f>COUNTIF($B$2:$B$1006, "violin")</f>
        <v>19</v>
      </c>
      <c r="J1" s="1" t="s">
        <v>7</v>
      </c>
      <c r="K1" s="12" t="s">
        <v>6</v>
      </c>
      <c r="L1">
        <f>COUNTIFS($B$2:$B$1006, "violin", $C$2:$C$1006, "novice")</f>
        <v>7</v>
      </c>
      <c r="O1" s="15" t="s">
        <v>8</v>
      </c>
      <c r="P1" s="16">
        <v>1</v>
      </c>
      <c r="Q1" s="17">
        <v>2</v>
      </c>
      <c r="R1" s="18">
        <v>3</v>
      </c>
      <c r="S1" s="19">
        <v>4</v>
      </c>
    </row>
    <row r="2" spans="1:19" ht="18" customHeight="1">
      <c r="A2" s="33" t="s">
        <v>9</v>
      </c>
      <c r="B2" s="34" t="s">
        <v>6</v>
      </c>
      <c r="C2" s="35" t="s">
        <v>7</v>
      </c>
      <c r="D2" s="35">
        <v>1</v>
      </c>
      <c r="E2" s="36">
        <v>48</v>
      </c>
      <c r="F2" s="37" t="s">
        <v>10</v>
      </c>
      <c r="G2" s="21" t="s">
        <v>11</v>
      </c>
      <c r="H2">
        <f>COUNTIF($B$2:$B$1006, "clarinet")</f>
        <v>32</v>
      </c>
      <c r="J2" s="5" t="s">
        <v>12</v>
      </c>
      <c r="K2" s="12" t="s">
        <v>6</v>
      </c>
      <c r="L2">
        <f>COUNTIFS($B$2:$B$1006, "violin", $C$2:$C$1006, "advanced_beginner")</f>
        <v>5</v>
      </c>
      <c r="N2" s="15" t="s">
        <v>13</v>
      </c>
      <c r="O2">
        <f>COUNTIF(B2:H1006, "violin")</f>
        <v>19</v>
      </c>
      <c r="P2">
        <f>COUNTIFS($B$2:$B$1006, "violin", $D$2:$D$1006, 1)</f>
        <v>7</v>
      </c>
      <c r="Q2">
        <f>COUNTIFS($B$2:$B$1006, "violin", $D$2:$D$1006, 2)</f>
        <v>5</v>
      </c>
      <c r="R2">
        <f>COUNTIFS($B$2:$B$1006, "violin", $D$2:$D$1006, 3)</f>
        <v>1</v>
      </c>
      <c r="S2">
        <f>COUNTIFS($B$2:$B$1006, "violin", $D$2:$D$1006, 4)</f>
        <v>6</v>
      </c>
    </row>
    <row r="3" spans="1:19" ht="18" customHeight="1">
      <c r="A3" s="38" t="s">
        <v>14</v>
      </c>
      <c r="B3" s="39" t="s">
        <v>11</v>
      </c>
      <c r="C3" s="40" t="s">
        <v>15</v>
      </c>
      <c r="D3" s="40">
        <v>4</v>
      </c>
      <c r="E3" s="41">
        <v>40</v>
      </c>
      <c r="F3" s="37" t="s">
        <v>10</v>
      </c>
      <c r="G3" s="22" t="s">
        <v>7</v>
      </c>
      <c r="H3">
        <f>COUNTIF($C$2:$C$1006, "novice")</f>
        <v>18</v>
      </c>
      <c r="J3" s="4" t="s">
        <v>16</v>
      </c>
      <c r="K3" s="12" t="s">
        <v>6</v>
      </c>
      <c r="L3">
        <f>COUNTIFS($B$2:$B$1006, "violin", $C$2:$C$1006, "competent")</f>
        <v>1</v>
      </c>
      <c r="N3" s="15" t="s">
        <v>17</v>
      </c>
      <c r="O3">
        <f>COUNTIF(B2:H1006, "clarinet")</f>
        <v>33</v>
      </c>
      <c r="P3">
        <f>COUNTIFS($B$2:$B$1006, "clarinet", $D$2:$D$1006, 1)</f>
        <v>11</v>
      </c>
      <c r="Q3">
        <f>COUNTIFS($B$2:$B$1006, "clarinet", $D$2:$D$1006, 2)</f>
        <v>6</v>
      </c>
      <c r="R3">
        <f>COUNTIFS($B$2:$B$1006, "clarinet", $D$2:$D$1006, 3)</f>
        <v>5</v>
      </c>
      <c r="S3">
        <f>COUNTIFS($B$2:$B$1006, "clarinet", $D$2:$D$1006, 4)</f>
        <v>10</v>
      </c>
    </row>
    <row r="4" spans="1:19" ht="18" customHeight="1">
      <c r="A4" s="42" t="s">
        <v>18</v>
      </c>
      <c r="B4" s="39" t="s">
        <v>11</v>
      </c>
      <c r="C4" s="43" t="s">
        <v>7</v>
      </c>
      <c r="D4" s="43">
        <v>1</v>
      </c>
      <c r="E4" s="41">
        <v>10</v>
      </c>
      <c r="F4" s="37" t="s">
        <v>10</v>
      </c>
      <c r="G4" s="23" t="s">
        <v>12</v>
      </c>
      <c r="H4">
        <f>COUNTIF($C$2:$C$1006, "advanced_beginner")</f>
        <v>11</v>
      </c>
      <c r="J4" s="3" t="s">
        <v>15</v>
      </c>
      <c r="K4" s="12" t="s">
        <v>6</v>
      </c>
      <c r="L4">
        <f>COUNTIFS($B$2:$B$1006, "violin", $C$2:$C$1006, "expert")</f>
        <v>6</v>
      </c>
    </row>
    <row r="5" spans="1:19" ht="18" customHeight="1">
      <c r="A5" s="38" t="s">
        <v>19</v>
      </c>
      <c r="B5" s="39" t="s">
        <v>11</v>
      </c>
      <c r="C5" s="43" t="s">
        <v>7</v>
      </c>
      <c r="D5" s="43">
        <v>1</v>
      </c>
      <c r="E5" s="41">
        <v>9</v>
      </c>
      <c r="F5" s="37" t="s">
        <v>10</v>
      </c>
      <c r="G5" s="24" t="s">
        <v>16</v>
      </c>
      <c r="H5">
        <f>COUNTIF($C$2:$C$1006, "competent")</f>
        <v>6</v>
      </c>
    </row>
    <row r="6" spans="1:19" ht="18" customHeight="1">
      <c r="A6" s="42" t="s">
        <v>20</v>
      </c>
      <c r="B6" s="39" t="s">
        <v>11</v>
      </c>
      <c r="C6" s="44" t="s">
        <v>16</v>
      </c>
      <c r="D6" s="44">
        <v>3</v>
      </c>
      <c r="E6" s="41">
        <v>13</v>
      </c>
      <c r="F6" s="37" t="s">
        <v>10</v>
      </c>
      <c r="G6" s="25" t="s">
        <v>15</v>
      </c>
      <c r="H6">
        <f>COUNTIF($C$2:$C$1006, "expert")</f>
        <v>16</v>
      </c>
      <c r="J6" s="1" t="s">
        <v>7</v>
      </c>
      <c r="K6" s="13" t="s">
        <v>11</v>
      </c>
      <c r="L6">
        <f>COUNTIFS($B$2:$B$1006, "clarinet", $C$2:$C$1006, "novice")</f>
        <v>11</v>
      </c>
    </row>
    <row r="7" spans="1:19" ht="18" customHeight="1">
      <c r="A7" s="38" t="s">
        <v>21</v>
      </c>
      <c r="B7" s="39" t="s">
        <v>11</v>
      </c>
      <c r="C7" s="40" t="s">
        <v>15</v>
      </c>
      <c r="D7" s="40">
        <v>4</v>
      </c>
      <c r="E7" s="41">
        <v>44</v>
      </c>
      <c r="F7" s="37" t="s">
        <v>10</v>
      </c>
      <c r="J7" s="5" t="s">
        <v>12</v>
      </c>
      <c r="K7" s="13" t="s">
        <v>11</v>
      </c>
      <c r="L7">
        <f>COUNTIFS($B$2:$B$1006, "clarinet", $C$2:$C$1006, "advanced_beginner")</f>
        <v>6</v>
      </c>
    </row>
    <row r="8" spans="1:19" ht="18" customHeight="1">
      <c r="A8" s="42" t="s">
        <v>22</v>
      </c>
      <c r="B8" s="39" t="s">
        <v>11</v>
      </c>
      <c r="C8" s="45" t="s">
        <v>12</v>
      </c>
      <c r="D8" s="45">
        <v>2</v>
      </c>
      <c r="E8" s="41">
        <v>13</v>
      </c>
      <c r="F8" s="37" t="s">
        <v>10</v>
      </c>
      <c r="J8" s="4" t="s">
        <v>16</v>
      </c>
      <c r="K8" s="13" t="s">
        <v>11</v>
      </c>
      <c r="L8">
        <f>COUNTIFS($B$2:$B$1006, "clarinet", $C$2:$C$1006, "competent")</f>
        <v>5</v>
      </c>
    </row>
    <row r="9" spans="1:19" ht="18" customHeight="1">
      <c r="A9" s="38" t="s">
        <v>23</v>
      </c>
      <c r="B9" s="39" t="s">
        <v>11</v>
      </c>
      <c r="C9" s="43" t="s">
        <v>7</v>
      </c>
      <c r="D9" s="43">
        <v>1</v>
      </c>
      <c r="E9" s="41">
        <v>13</v>
      </c>
      <c r="F9" s="37" t="s">
        <v>10</v>
      </c>
      <c r="J9" s="3" t="s">
        <v>15</v>
      </c>
      <c r="K9" s="13" t="s">
        <v>11</v>
      </c>
      <c r="L9">
        <f>COUNTIFS($B$2:$B$1006, "clarinet", $C$2:$C$1006, "expert")</f>
        <v>10</v>
      </c>
    </row>
    <row r="10" spans="1:19" ht="18" customHeight="1">
      <c r="A10" s="42" t="s">
        <v>24</v>
      </c>
      <c r="B10" s="39" t="s">
        <v>11</v>
      </c>
      <c r="C10" s="40" t="s">
        <v>15</v>
      </c>
      <c r="D10" s="40">
        <v>4</v>
      </c>
      <c r="E10" s="41">
        <v>32</v>
      </c>
      <c r="F10" s="37" t="s">
        <v>10</v>
      </c>
    </row>
    <row r="11" spans="1:19" ht="18" customHeight="1">
      <c r="A11" s="38" t="s">
        <v>25</v>
      </c>
      <c r="B11" s="46" t="s">
        <v>6</v>
      </c>
      <c r="C11" s="40" t="s">
        <v>15</v>
      </c>
      <c r="D11" s="40">
        <v>4</v>
      </c>
      <c r="E11" s="41">
        <v>25</v>
      </c>
      <c r="F11" s="47" t="s">
        <v>26</v>
      </c>
    </row>
    <row r="12" spans="1:19" ht="18" customHeight="1">
      <c r="A12" s="42" t="s">
        <v>27</v>
      </c>
      <c r="B12" s="39" t="s">
        <v>11</v>
      </c>
      <c r="C12" s="40" t="s">
        <v>15</v>
      </c>
      <c r="D12" s="40">
        <v>4</v>
      </c>
      <c r="E12" s="41">
        <v>69</v>
      </c>
      <c r="F12" s="47" t="s">
        <v>26</v>
      </c>
      <c r="J12" s="27" t="s">
        <v>10</v>
      </c>
      <c r="K12">
        <f>COUNTIF($F$2:$F$1006, "Female")</f>
        <v>39</v>
      </c>
    </row>
    <row r="13" spans="1:19" ht="18" customHeight="1">
      <c r="A13" s="38" t="s">
        <v>28</v>
      </c>
      <c r="B13" s="39" t="s">
        <v>11</v>
      </c>
      <c r="C13" s="40" t="s">
        <v>15</v>
      </c>
      <c r="D13" s="40">
        <v>4</v>
      </c>
      <c r="E13" s="41">
        <v>45</v>
      </c>
      <c r="F13" s="37" t="s">
        <v>10</v>
      </c>
      <c r="J13" s="26" t="s">
        <v>26</v>
      </c>
      <c r="K13">
        <f>COUNTIF($F$2:$F$1006, "Male")</f>
        <v>12</v>
      </c>
    </row>
    <row r="14" spans="1:19" ht="18" customHeight="1">
      <c r="A14" s="42" t="s">
        <v>29</v>
      </c>
      <c r="B14" s="39" t="s">
        <v>11</v>
      </c>
      <c r="C14" s="43" t="s">
        <v>7</v>
      </c>
      <c r="D14" s="43">
        <v>1</v>
      </c>
      <c r="E14" s="41">
        <v>42</v>
      </c>
      <c r="F14" s="37" t="s">
        <v>10</v>
      </c>
    </row>
    <row r="15" spans="1:19" ht="18" customHeight="1">
      <c r="A15" s="38" t="s">
        <v>30</v>
      </c>
      <c r="B15" s="46" t="s">
        <v>6</v>
      </c>
      <c r="C15" s="40" t="s">
        <v>15</v>
      </c>
      <c r="D15" s="40">
        <v>4</v>
      </c>
      <c r="E15" s="41">
        <v>49</v>
      </c>
      <c r="F15" s="47" t="s">
        <v>26</v>
      </c>
    </row>
    <row r="16" spans="1:19" ht="18" customHeight="1">
      <c r="A16" s="42" t="s">
        <v>31</v>
      </c>
      <c r="B16" s="39" t="s">
        <v>11</v>
      </c>
      <c r="C16" s="44" t="s">
        <v>16</v>
      </c>
      <c r="D16" s="44">
        <v>3</v>
      </c>
      <c r="E16" s="41">
        <v>32</v>
      </c>
      <c r="F16" s="47" t="s">
        <v>26</v>
      </c>
    </row>
    <row r="17" spans="1:6" ht="18" customHeight="1">
      <c r="A17" s="38" t="s">
        <v>32</v>
      </c>
      <c r="B17" s="39" t="s">
        <v>11</v>
      </c>
      <c r="C17" s="43" t="s">
        <v>7</v>
      </c>
      <c r="D17" s="43">
        <v>1</v>
      </c>
      <c r="E17" s="41">
        <v>10</v>
      </c>
      <c r="F17" s="37" t="s">
        <v>10</v>
      </c>
    </row>
    <row r="18" spans="1:6" ht="18" customHeight="1">
      <c r="A18" s="42" t="s">
        <v>33</v>
      </c>
      <c r="B18" s="39" t="s">
        <v>11</v>
      </c>
      <c r="C18" s="44" t="s">
        <v>16</v>
      </c>
      <c r="D18" s="44">
        <v>3</v>
      </c>
      <c r="E18" s="41">
        <v>14</v>
      </c>
      <c r="F18" s="47" t="s">
        <v>26</v>
      </c>
    </row>
    <row r="19" spans="1:6" ht="18" customHeight="1">
      <c r="A19" s="38" t="s">
        <v>34</v>
      </c>
      <c r="B19" s="39" t="s">
        <v>11</v>
      </c>
      <c r="C19" s="45" t="s">
        <v>12</v>
      </c>
      <c r="D19" s="45">
        <v>2</v>
      </c>
      <c r="E19" s="41">
        <v>15</v>
      </c>
      <c r="F19" s="47" t="s">
        <v>26</v>
      </c>
    </row>
    <row r="20" spans="1:6" ht="18" customHeight="1">
      <c r="A20" s="42" t="s">
        <v>35</v>
      </c>
      <c r="B20" s="39" t="s">
        <v>11</v>
      </c>
      <c r="C20" s="43" t="s">
        <v>7</v>
      </c>
      <c r="D20" s="43">
        <v>1</v>
      </c>
      <c r="E20" s="41">
        <v>9</v>
      </c>
      <c r="F20" s="37" t="s">
        <v>10</v>
      </c>
    </row>
    <row r="21" spans="1:6" ht="18" customHeight="1">
      <c r="A21" s="38" t="s">
        <v>36</v>
      </c>
      <c r="B21" s="46" t="s">
        <v>6</v>
      </c>
      <c r="C21" s="43" t="s">
        <v>7</v>
      </c>
      <c r="D21" s="43">
        <v>1</v>
      </c>
      <c r="E21" s="41">
        <v>13</v>
      </c>
      <c r="F21" s="37" t="s">
        <v>10</v>
      </c>
    </row>
    <row r="22" spans="1:6" ht="18" customHeight="1">
      <c r="A22" s="42" t="s">
        <v>37</v>
      </c>
      <c r="B22" s="39" t="s">
        <v>11</v>
      </c>
      <c r="C22" s="45" t="s">
        <v>12</v>
      </c>
      <c r="D22" s="45">
        <v>2</v>
      </c>
      <c r="E22" s="41">
        <v>51</v>
      </c>
      <c r="F22" s="37" t="s">
        <v>10</v>
      </c>
    </row>
    <row r="23" spans="1:6" ht="18" customHeight="1">
      <c r="A23" s="38" t="s">
        <v>38</v>
      </c>
      <c r="B23" s="39" t="s">
        <v>11</v>
      </c>
      <c r="C23" s="43" t="s">
        <v>7</v>
      </c>
      <c r="D23" s="43">
        <v>1</v>
      </c>
      <c r="E23" s="41">
        <v>10</v>
      </c>
      <c r="F23" s="37" t="s">
        <v>10</v>
      </c>
    </row>
    <row r="24" spans="1:6" ht="18" customHeight="1">
      <c r="A24" s="42" t="s">
        <v>39</v>
      </c>
      <c r="B24" s="39" t="s">
        <v>11</v>
      </c>
      <c r="C24" s="45" t="s">
        <v>12</v>
      </c>
      <c r="D24" s="45">
        <v>2</v>
      </c>
      <c r="E24" s="41">
        <v>15</v>
      </c>
      <c r="F24" s="37" t="s">
        <v>10</v>
      </c>
    </row>
    <row r="25" spans="1:6" ht="18" customHeight="1">
      <c r="A25" s="38" t="s">
        <v>40</v>
      </c>
      <c r="B25" s="39" t="s">
        <v>11</v>
      </c>
      <c r="C25" s="43" t="s">
        <v>7</v>
      </c>
      <c r="D25" s="43">
        <v>1</v>
      </c>
      <c r="E25" s="41">
        <v>14</v>
      </c>
      <c r="F25" s="47" t="s">
        <v>26</v>
      </c>
    </row>
    <row r="26" spans="1:6" ht="18" customHeight="1">
      <c r="A26" s="42" t="s">
        <v>41</v>
      </c>
      <c r="B26" s="39" t="s">
        <v>11</v>
      </c>
      <c r="C26" s="43" t="s">
        <v>7</v>
      </c>
      <c r="D26" s="43">
        <v>1</v>
      </c>
      <c r="E26" s="41">
        <v>42</v>
      </c>
      <c r="F26" s="37" t="s">
        <v>10</v>
      </c>
    </row>
    <row r="27" spans="1:6" ht="18" customHeight="1">
      <c r="A27" s="38" t="s">
        <v>42</v>
      </c>
      <c r="B27" s="46" t="s">
        <v>6</v>
      </c>
      <c r="C27" s="40" t="s">
        <v>15</v>
      </c>
      <c r="D27" s="40">
        <v>4</v>
      </c>
      <c r="E27" s="41">
        <v>42</v>
      </c>
      <c r="F27" s="37" t="s">
        <v>10</v>
      </c>
    </row>
    <row r="28" spans="1:6" ht="18" customHeight="1">
      <c r="A28" s="42" t="s">
        <v>43</v>
      </c>
      <c r="B28" s="46" t="s">
        <v>6</v>
      </c>
      <c r="C28" s="45" t="s">
        <v>12</v>
      </c>
      <c r="D28" s="45">
        <v>2</v>
      </c>
      <c r="E28" s="41">
        <v>16</v>
      </c>
      <c r="F28" s="37" t="s">
        <v>10</v>
      </c>
    </row>
    <row r="29" spans="1:6" ht="18" customHeight="1">
      <c r="A29" s="38" t="s">
        <v>44</v>
      </c>
      <c r="B29" s="46" t="s">
        <v>6</v>
      </c>
      <c r="C29" s="45" t="s">
        <v>12</v>
      </c>
      <c r="D29" s="45">
        <v>2</v>
      </c>
      <c r="E29" s="41">
        <v>15</v>
      </c>
      <c r="F29" s="37" t="s">
        <v>10</v>
      </c>
    </row>
    <row r="30" spans="1:6" ht="18" customHeight="1">
      <c r="A30" s="42" t="s">
        <v>45</v>
      </c>
      <c r="B30" s="46" t="s">
        <v>6</v>
      </c>
      <c r="C30" s="43" t="s">
        <v>7</v>
      </c>
      <c r="D30" s="43">
        <v>1</v>
      </c>
      <c r="E30" s="41">
        <v>12</v>
      </c>
      <c r="F30" s="37" t="s">
        <v>10</v>
      </c>
    </row>
    <row r="31" spans="1:6" ht="18" customHeight="1">
      <c r="A31" s="38" t="s">
        <v>46</v>
      </c>
      <c r="B31" s="46" t="s">
        <v>6</v>
      </c>
      <c r="C31" s="43" t="s">
        <v>7</v>
      </c>
      <c r="D31" s="43">
        <v>1</v>
      </c>
      <c r="E31" s="41">
        <v>12</v>
      </c>
      <c r="F31" s="37" t="s">
        <v>10</v>
      </c>
    </row>
    <row r="32" spans="1:6" ht="18" customHeight="1">
      <c r="A32" s="42" t="s">
        <v>47</v>
      </c>
      <c r="B32" s="46" t="s">
        <v>6</v>
      </c>
      <c r="C32" s="45" t="s">
        <v>12</v>
      </c>
      <c r="D32" s="45">
        <v>2</v>
      </c>
      <c r="E32" s="41">
        <v>15</v>
      </c>
      <c r="F32" s="37" t="s">
        <v>10</v>
      </c>
    </row>
    <row r="33" spans="1:6" ht="18" customHeight="1">
      <c r="A33" s="38" t="s">
        <v>48</v>
      </c>
      <c r="B33" s="46" t="s">
        <v>6</v>
      </c>
      <c r="C33" s="43" t="s">
        <v>7</v>
      </c>
      <c r="D33" s="43">
        <v>1</v>
      </c>
      <c r="E33" s="41">
        <v>10</v>
      </c>
      <c r="F33" s="37" t="s">
        <v>10</v>
      </c>
    </row>
    <row r="34" spans="1:6" ht="18" customHeight="1">
      <c r="A34" s="42" t="s">
        <v>49</v>
      </c>
      <c r="B34" s="46" t="s">
        <v>6</v>
      </c>
      <c r="C34" s="45" t="s">
        <v>12</v>
      </c>
      <c r="D34" s="45">
        <v>2</v>
      </c>
      <c r="E34" s="41">
        <v>16</v>
      </c>
      <c r="F34" s="37" t="s">
        <v>10</v>
      </c>
    </row>
    <row r="35" spans="1:6" ht="18" customHeight="1">
      <c r="A35" s="38" t="s">
        <v>50</v>
      </c>
      <c r="B35" s="39" t="s">
        <v>11</v>
      </c>
      <c r="C35" s="44" t="s">
        <v>16</v>
      </c>
      <c r="D35" s="44">
        <v>3</v>
      </c>
      <c r="E35" s="41">
        <v>19</v>
      </c>
      <c r="F35" s="37" t="s">
        <v>10</v>
      </c>
    </row>
    <row r="36" spans="1:6" ht="18" customHeight="1">
      <c r="A36" s="42" t="s">
        <v>51</v>
      </c>
      <c r="B36" s="39" t="s">
        <v>11</v>
      </c>
      <c r="C36" s="43" t="s">
        <v>7</v>
      </c>
      <c r="D36" s="43">
        <v>1</v>
      </c>
      <c r="E36" s="41">
        <v>12</v>
      </c>
      <c r="F36" s="37" t="s">
        <v>10</v>
      </c>
    </row>
    <row r="37" spans="1:6" ht="18" customHeight="1">
      <c r="A37" s="38" t="s">
        <v>52</v>
      </c>
      <c r="B37" s="46" t="s">
        <v>6</v>
      </c>
      <c r="C37" s="43" t="s">
        <v>7</v>
      </c>
      <c r="D37" s="43">
        <v>1</v>
      </c>
      <c r="E37" s="41">
        <v>12</v>
      </c>
      <c r="F37" s="37" t="s">
        <v>10</v>
      </c>
    </row>
    <row r="38" spans="1:6" ht="18" customHeight="1">
      <c r="A38" s="42" t="s">
        <v>53</v>
      </c>
      <c r="B38" s="46" t="s">
        <v>6</v>
      </c>
      <c r="C38" s="40" t="s">
        <v>15</v>
      </c>
      <c r="D38" s="40">
        <v>4</v>
      </c>
      <c r="E38" s="41">
        <v>56</v>
      </c>
      <c r="F38" s="37" t="s">
        <v>10</v>
      </c>
    </row>
    <row r="39" spans="1:6" ht="18" customHeight="1">
      <c r="A39" s="38" t="s">
        <v>54</v>
      </c>
      <c r="B39" s="46" t="s">
        <v>6</v>
      </c>
      <c r="C39" s="40" t="s">
        <v>15</v>
      </c>
      <c r="D39" s="40">
        <v>4</v>
      </c>
      <c r="E39" s="41">
        <v>30</v>
      </c>
      <c r="F39" s="47" t="s">
        <v>26</v>
      </c>
    </row>
    <row r="40" spans="1:6" ht="18" customHeight="1">
      <c r="A40" s="42" t="s">
        <v>55</v>
      </c>
      <c r="B40" s="39" t="s">
        <v>11</v>
      </c>
      <c r="C40" s="40" t="s">
        <v>15</v>
      </c>
      <c r="D40" s="40">
        <v>4</v>
      </c>
      <c r="E40" s="41">
        <v>40</v>
      </c>
      <c r="F40" s="47" t="s">
        <v>26</v>
      </c>
    </row>
    <row r="41" spans="1:6" ht="18" customHeight="1">
      <c r="A41" s="38" t="s">
        <v>56</v>
      </c>
      <c r="B41" s="39" t="s">
        <v>11</v>
      </c>
      <c r="C41" s="40" t="s">
        <v>15</v>
      </c>
      <c r="D41" s="40">
        <v>4</v>
      </c>
      <c r="E41" s="41">
        <v>45</v>
      </c>
      <c r="F41" s="37" t="s">
        <v>10</v>
      </c>
    </row>
    <row r="42" spans="1:6" ht="18" customHeight="1">
      <c r="A42" s="42" t="s">
        <v>57</v>
      </c>
      <c r="B42" s="39" t="s">
        <v>11</v>
      </c>
      <c r="C42" s="43" t="s">
        <v>7</v>
      </c>
      <c r="D42" s="43">
        <v>1</v>
      </c>
      <c r="E42" s="41">
        <v>31</v>
      </c>
      <c r="F42" s="47" t="s">
        <v>26</v>
      </c>
    </row>
    <row r="43" spans="1:6" ht="18" customHeight="1">
      <c r="A43" s="38" t="s">
        <v>58</v>
      </c>
      <c r="B43" s="39" t="s">
        <v>11</v>
      </c>
      <c r="C43" s="40" t="s">
        <v>15</v>
      </c>
      <c r="D43" s="40">
        <v>4</v>
      </c>
      <c r="E43" s="41">
        <v>38</v>
      </c>
      <c r="F43" s="37" t="s">
        <v>10</v>
      </c>
    </row>
    <row r="44" spans="1:6" ht="18" customHeight="1">
      <c r="A44" s="42" t="s">
        <v>59</v>
      </c>
      <c r="B44" s="39" t="s">
        <v>11</v>
      </c>
      <c r="C44" s="40" t="s">
        <v>15</v>
      </c>
      <c r="D44" s="40">
        <v>4</v>
      </c>
      <c r="E44" s="41">
        <v>35</v>
      </c>
      <c r="F44" s="47" t="s">
        <v>26</v>
      </c>
    </row>
    <row r="45" spans="1:6" ht="18" customHeight="1">
      <c r="A45" s="38" t="s">
        <v>60</v>
      </c>
      <c r="B45" s="46" t="s">
        <v>6</v>
      </c>
      <c r="C45" s="44" t="s">
        <v>16</v>
      </c>
      <c r="D45" s="44">
        <v>3</v>
      </c>
      <c r="E45" s="41">
        <v>34</v>
      </c>
      <c r="F45" s="37" t="s">
        <v>10</v>
      </c>
    </row>
    <row r="46" spans="1:6" ht="18" customHeight="1">
      <c r="A46" s="38" t="s">
        <v>61</v>
      </c>
      <c r="B46" s="39" t="s">
        <v>11</v>
      </c>
      <c r="C46" s="40" t="s">
        <v>15</v>
      </c>
      <c r="D46" s="40">
        <v>4</v>
      </c>
      <c r="E46" s="41">
        <v>26</v>
      </c>
      <c r="F46" s="47" t="s">
        <v>26</v>
      </c>
    </row>
    <row r="47" spans="1:6" ht="18" customHeight="1">
      <c r="A47" s="38" t="s">
        <v>62</v>
      </c>
      <c r="B47" s="39" t="s">
        <v>11</v>
      </c>
      <c r="C47" s="48" t="s">
        <v>16</v>
      </c>
      <c r="D47" s="48">
        <v>3</v>
      </c>
      <c r="E47" s="41" t="s">
        <v>63</v>
      </c>
      <c r="F47" s="37" t="s">
        <v>10</v>
      </c>
    </row>
    <row r="48" spans="1:6" ht="18" customHeight="1">
      <c r="A48" s="49" t="s">
        <v>64</v>
      </c>
      <c r="B48" s="50" t="s">
        <v>11</v>
      </c>
      <c r="C48" s="51" t="s">
        <v>12</v>
      </c>
      <c r="D48" s="51">
        <v>2</v>
      </c>
      <c r="E48" s="52"/>
      <c r="F48" s="37" t="s">
        <v>10</v>
      </c>
    </row>
    <row r="49" spans="1:6" ht="18" customHeight="1">
      <c r="A49" s="49" t="s">
        <v>65</v>
      </c>
      <c r="B49" s="53" t="s">
        <v>6</v>
      </c>
      <c r="C49" s="54" t="s">
        <v>7</v>
      </c>
      <c r="D49" s="54">
        <v>1</v>
      </c>
      <c r="E49" s="52"/>
      <c r="F49" s="37" t="s">
        <v>10</v>
      </c>
    </row>
    <row r="50" spans="1:6" ht="18" customHeight="1">
      <c r="A50" s="49" t="s">
        <v>66</v>
      </c>
      <c r="B50" s="53" t="s">
        <v>6</v>
      </c>
      <c r="C50" s="61" t="s">
        <v>15</v>
      </c>
      <c r="D50" s="61">
        <v>4</v>
      </c>
      <c r="E50" s="52"/>
      <c r="F50" s="37" t="s">
        <v>10</v>
      </c>
    </row>
    <row r="51" spans="1:6" ht="18" customHeight="1">
      <c r="A51" s="49" t="s">
        <v>67</v>
      </c>
      <c r="B51" s="53" t="s">
        <v>6</v>
      </c>
      <c r="C51" s="51" t="s">
        <v>12</v>
      </c>
      <c r="D51" s="51">
        <v>2</v>
      </c>
      <c r="E51" s="52"/>
      <c r="F51" s="55" t="s">
        <v>10</v>
      </c>
    </row>
    <row r="52" spans="1:6" ht="18" customHeight="1">
      <c r="A52" s="56" t="s">
        <v>68</v>
      </c>
      <c r="B52" s="57" t="s">
        <v>11</v>
      </c>
      <c r="C52" s="58" t="s">
        <v>12</v>
      </c>
      <c r="D52" s="58">
        <v>2</v>
      </c>
      <c r="E52" s="59"/>
      <c r="F52" s="60" t="s">
        <v>10</v>
      </c>
    </row>
    <row r="53" spans="1:6" ht="18" customHeight="1">
      <c r="A53" s="2"/>
      <c r="B53" s="13"/>
      <c r="C53" s="5"/>
      <c r="D53" s="5"/>
      <c r="E53" s="32"/>
      <c r="F53" s="27"/>
    </row>
    <row r="54" spans="1:6" ht="18" customHeight="1">
      <c r="A54" s="2"/>
      <c r="B54" s="13"/>
      <c r="C54" s="5"/>
      <c r="D54" s="5"/>
      <c r="E54" s="32"/>
      <c r="F54" s="27"/>
    </row>
    <row r="55" spans="1:6" ht="18" customHeight="1">
      <c r="A55" s="2"/>
      <c r="B55" s="13"/>
      <c r="C55" s="5"/>
      <c r="D55" s="5"/>
      <c r="E55" s="32"/>
      <c r="F55" s="27"/>
    </row>
    <row r="56" spans="1:6" ht="18" customHeight="1">
      <c r="A56" s="2"/>
      <c r="B56" s="13"/>
      <c r="C56" s="5"/>
      <c r="D56" s="5"/>
      <c r="E56" s="32"/>
      <c r="F56" s="27"/>
    </row>
    <row r="57" spans="1:6" ht="18" customHeight="1">
      <c r="A57" s="2"/>
      <c r="B57" s="13"/>
      <c r="C57" s="5"/>
      <c r="D57" s="5"/>
      <c r="E57" s="32"/>
      <c r="F57" s="27"/>
    </row>
    <row r="58" spans="1:6" ht="18" customHeight="1">
      <c r="A58" s="2"/>
      <c r="B58" s="13"/>
      <c r="C58" s="5"/>
      <c r="D58" s="5"/>
      <c r="E58" s="32"/>
      <c r="F58" s="27"/>
    </row>
    <row r="59" spans="1:6" ht="18" customHeight="1">
      <c r="A59" s="2"/>
      <c r="B59" s="13"/>
      <c r="C59" s="5"/>
      <c r="D59" s="5"/>
      <c r="E59" s="32"/>
      <c r="F59" s="27"/>
    </row>
    <row r="60" spans="1:6" ht="18" customHeight="1">
      <c r="A60" s="2"/>
      <c r="B60" s="13"/>
      <c r="C60" s="5"/>
      <c r="D60" s="5"/>
      <c r="E60" s="32"/>
      <c r="F60" s="27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A67E-7F38-413D-8AD3-B87932EC852B}">
  <dimension ref="B3:F8"/>
  <sheetViews>
    <sheetView tabSelected="1" workbookViewId="0">
      <selection activeCell="H7" sqref="H7"/>
    </sheetView>
  </sheetViews>
  <sheetFormatPr defaultColWidth="8.85546875" defaultRowHeight="15"/>
  <sheetData>
    <row r="3" spans="2:6">
      <c r="B3" s="28" t="s">
        <v>2</v>
      </c>
      <c r="C3" s="29" t="s">
        <v>69</v>
      </c>
      <c r="D3" s="29" t="s">
        <v>70</v>
      </c>
      <c r="E3" s="29" t="s">
        <v>71</v>
      </c>
      <c r="F3" s="29" t="s">
        <v>72</v>
      </c>
    </row>
    <row r="4" spans="2:6">
      <c r="B4" s="30" t="s">
        <v>73</v>
      </c>
      <c r="C4" s="31">
        <v>9</v>
      </c>
      <c r="D4" s="31">
        <v>2</v>
      </c>
      <c r="E4" s="31">
        <v>7</v>
      </c>
      <c r="F4" s="31">
        <v>0</v>
      </c>
    </row>
    <row r="5" spans="2:6">
      <c r="B5" s="30" t="s">
        <v>74</v>
      </c>
      <c r="C5" s="31">
        <v>4</v>
      </c>
      <c r="D5" s="31">
        <v>2</v>
      </c>
      <c r="E5" s="31">
        <v>5</v>
      </c>
      <c r="F5" s="31">
        <v>0</v>
      </c>
    </row>
    <row r="6" spans="2:6">
      <c r="B6" s="30" t="s">
        <v>75</v>
      </c>
      <c r="C6" s="31">
        <v>3</v>
      </c>
      <c r="D6" s="31">
        <v>2</v>
      </c>
      <c r="E6" s="31">
        <v>1</v>
      </c>
      <c r="F6" s="31">
        <v>0</v>
      </c>
    </row>
    <row r="7" spans="2:6">
      <c r="B7" s="30" t="s">
        <v>76</v>
      </c>
      <c r="C7" s="31">
        <v>6</v>
      </c>
      <c r="D7" s="31">
        <v>4</v>
      </c>
      <c r="E7" s="31">
        <v>2</v>
      </c>
      <c r="F7" s="31">
        <v>4</v>
      </c>
    </row>
    <row r="8" spans="2:6">
      <c r="C8" s="31"/>
      <c r="D8" s="31"/>
      <c r="F8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8" sqref="A8"/>
    </sheetView>
  </sheetViews>
  <sheetFormatPr defaultColWidth="8.85546875" defaultRowHeight="15"/>
  <cols>
    <col min="1" max="1" width="22" customWidth="1"/>
    <col min="2" max="2" width="10" customWidth="1"/>
  </cols>
  <sheetData>
    <row r="1" spans="1:2">
      <c r="A1" s="6" t="s">
        <v>2</v>
      </c>
      <c r="B1" s="6" t="s">
        <v>77</v>
      </c>
    </row>
    <row r="2" spans="1:2" ht="18" customHeight="1">
      <c r="A2" s="7" t="s">
        <v>78</v>
      </c>
      <c r="B2" s="7">
        <v>0</v>
      </c>
    </row>
    <row r="3" spans="1:2" ht="18" customHeight="1">
      <c r="A3" s="8" t="s">
        <v>73</v>
      </c>
      <c r="B3" s="8">
        <v>1</v>
      </c>
    </row>
    <row r="4" spans="1:2" ht="18" customHeight="1">
      <c r="A4" s="9" t="s">
        <v>79</v>
      </c>
      <c r="B4" s="9">
        <v>2</v>
      </c>
    </row>
    <row r="5" spans="1:2" ht="18" customHeight="1">
      <c r="A5" s="10" t="s">
        <v>75</v>
      </c>
      <c r="B5" s="10">
        <v>3</v>
      </c>
    </row>
    <row r="6" spans="1:2" ht="18" customHeight="1">
      <c r="A6" s="14" t="s">
        <v>80</v>
      </c>
      <c r="B6" s="14">
        <v>4</v>
      </c>
    </row>
    <row r="7" spans="1:2">
      <c r="A7" s="11" t="s">
        <v>76</v>
      </c>
      <c r="B7" s="11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88fb1d-bd6c-48e1-9062-aecd3bbe96e6">
      <Terms xmlns="http://schemas.microsoft.com/office/infopath/2007/PartnerControls"/>
    </lcf76f155ced4ddcb4097134ff3c332f>
    <TaxCatchAll xmlns="ef471bfb-8ee5-4ebb-8166-74df02f90b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97E2CA7951745A5EC9B653A412C89" ma:contentTypeVersion="13" ma:contentTypeDescription="Create a new document." ma:contentTypeScope="" ma:versionID="b784dbfc717a9dd5945e73e652ed0dcf">
  <xsd:schema xmlns:xsd="http://www.w3.org/2001/XMLSchema" xmlns:xs="http://www.w3.org/2001/XMLSchema" xmlns:p="http://schemas.microsoft.com/office/2006/metadata/properties" xmlns:ns2="a588fb1d-bd6c-48e1-9062-aecd3bbe96e6" xmlns:ns3="ef471bfb-8ee5-4ebb-8166-74df02f90b41" targetNamespace="http://schemas.microsoft.com/office/2006/metadata/properties" ma:root="true" ma:fieldsID="b629a13d59803569506ab984f4d1f23c" ns2:_="" ns3:_="">
    <xsd:import namespace="a588fb1d-bd6c-48e1-9062-aecd3bbe96e6"/>
    <xsd:import namespace="ef471bfb-8ee5-4ebb-8166-74df02f90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8fb1d-bd6c-48e1-9062-aecd3bbe9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350db3-1762-4bf1-805b-8e7c55ddee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71bfb-8ee5-4ebb-8166-74df02f90b4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244e9ce-957d-4bac-9505-d4a863a70d5b}" ma:internalName="TaxCatchAll" ma:showField="CatchAllData" ma:web="ef471bfb-8ee5-4ebb-8166-74df02f90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01395-7F0E-4887-8D4E-076DC82AA75A}"/>
</file>

<file path=customXml/itemProps2.xml><?xml version="1.0" encoding="utf-8"?>
<ds:datastoreItem xmlns:ds="http://schemas.openxmlformats.org/officeDocument/2006/customXml" ds:itemID="{A930ADDE-F75B-42B9-AB16-9739D9DD2C12}"/>
</file>

<file path=customXml/itemProps3.xml><?xml version="1.0" encoding="utf-8"?>
<ds:datastoreItem xmlns:ds="http://schemas.openxmlformats.org/officeDocument/2006/customXml" ds:itemID="{C0DE270D-91FB-4EA1-A852-AA2E6B209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2026-05-06T12:22:24Z</dcterms:created>
  <dcterms:modified xsi:type="dcterms:W3CDTF">2026-07-14T15:40:44Z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0x0101009F297E2CA7951745A5EC9B653A412C89</vt:lpwstr>
  </property>
  <property fmtid="{D5CDD505-2E9C-101B-9397-08002B2CF9AE}" pid="3" name="MediaServiceImageTags">
    <vt:lpwstr/>
  </property>
</Properties>
</file>